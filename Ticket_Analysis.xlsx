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vya_n2uuy2h\Downloads\PaltinumRx_assignment\"/>
    </mc:Choice>
  </mc:AlternateContent>
  <xr:revisionPtr revIDLastSave="0" documentId="13_ncr:1_{7F592A27-4584-4C35-A940-33C7E4C4CF2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icket" sheetId="1" r:id="rId1"/>
    <sheet name="feedbacks" sheetId="2" r:id="rId2"/>
    <sheet name="Analysis" sheetId="3" r:id="rId3"/>
    <sheet name="Formula Notes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3" l="1"/>
  <c r="C15" i="3"/>
  <c r="B15" i="3"/>
  <c r="F10" i="3"/>
  <c r="C14" i="3" s="1"/>
  <c r="E10" i="3"/>
  <c r="B14" i="3" s="1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B16" i="3" s="1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<sst xmlns="http://schemas.openxmlformats.org/spreadsheetml/2006/main" count="135" uniqueCount="81">
  <si>
    <t>TICKET DATA</t>
  </si>
  <si>
    <t>ticket_id</t>
  </si>
  <si>
    <t>created_at</t>
  </si>
  <si>
    <t>closed_at</t>
  </si>
  <si>
    <t>outlet_id</t>
  </si>
  <si>
    <t>cms_id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</si>
  <si>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</si>
  <si>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</si>
  <si>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</si>
  <si>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</si>
  <si>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</si>
  <si>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</si>
  <si>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</si>
  <si>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</si>
  <si>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</si>
  <si>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cms-abc-001</t>
  </si>
  <si>
    <t>mno-xyz-123</t>
  </si>
  <si>
    <t>2021-08-22 09:00:00</t>
  </si>
  <si>
    <t>2021-08-22 09:45:00</t>
  </si>
  <si>
    <t>cms-abc-002</t>
  </si>
  <si>
    <t>pqr-lmn-456</t>
  </si>
  <si>
    <t>2021-08-23 14:00:00</t>
  </si>
  <si>
    <t>2021-08-24 10:00:00</t>
  </si>
  <si>
    <t>9xtr-m2p-44a</t>
  </si>
  <si>
    <t>cms-def-003</t>
  </si>
  <si>
    <t>abc-def-789</t>
  </si>
  <si>
    <t>2021-08-24 08:30:00</t>
  </si>
  <si>
    <t>2021-08-24 08:55:00</t>
  </si>
  <si>
    <t>cms-ghi-004</t>
  </si>
  <si>
    <t>tuv-wxy-321</t>
  </si>
  <si>
    <t>2021-08-25 10:00:00</t>
  </si>
  <si>
    <t>2021-08-25 10:30:00</t>
  </si>
  <si>
    <t>cms-jkl-005</t>
  </si>
  <si>
    <t>ghi-jkl-654</t>
  </si>
  <si>
    <t>2021-08-25 13:15:00</t>
  </si>
  <si>
    <t>2021-08-26 09:00:00</t>
  </si>
  <si>
    <t>cms-mno-006</t>
  </si>
  <si>
    <t>rst-uvw-987</t>
  </si>
  <si>
    <t>2021-08-26 15:00:00</t>
  </si>
  <si>
    <t>2021-08-26 15:45:00</t>
  </si>
  <si>
    <t>cms-pqr-007</t>
  </si>
  <si>
    <t>FEEDBACKS DATA</t>
  </si>
  <si>
    <t>feedback_at</t>
  </si>
  <si>
    <t>feedback_rating</t>
  </si>
  <si>
    <t>ticket_created_at</t>
  </si>
  <si>
    <t>2021-08-21 13:26:48</t>
  </si>
  <si>
    <t>2021-08-22 10:00:00</t>
  </si>
  <si>
    <t>2021-08-23 08:00:00</t>
  </si>
  <si>
    <t>2021-08-25 09:00:00</t>
  </si>
  <si>
    <t>2021-08-25 11:00:00</t>
  </si>
  <si>
    <t>2021-08-26 09:30:00</t>
  </si>
  <si>
    <t>2021-08-27 10:00:00</t>
  </si>
  <si>
    <t>2021-08-27 14:00:00</t>
  </si>
  <si>
    <t>ANALYSIS — Q2: Same Day &amp; Same Hour Count by Outlet</t>
  </si>
  <si>
    <t>Same Day?</t>
  </si>
  <si>
    <t>Same Hour?</t>
  </si>
  <si>
    <t>OUTLET-WISE SUMMARY</t>
  </si>
  <si>
    <t>Outlet ID</t>
  </si>
  <si>
    <t>Q2a: Same Day Count</t>
  </si>
  <si>
    <t>Q2b: Same Hour Count</t>
  </si>
  <si>
    <t>FORMULA &amp; APPROACH NOTES</t>
  </si>
  <si>
    <t>QUESTION 1</t>
  </si>
  <si>
    <t>Populate 'ticket_created_at' in feedbacks sheet</t>
  </si>
  <si>
    <t>Formula Used</t>
  </si>
  <si>
    <t>Why INDEX-MATCH?</t>
  </si>
  <si>
    <t>VLOOKUP only looks RIGHT from its lookup column. cms_id is in col E but created_at is in col B (to the LEFT), so we use INDEX-MATCH which works in any direction.</t>
  </si>
  <si>
    <t>Link Key</t>
  </si>
  <si>
    <t>feedbacks.cms_id  ←→  ticket.cms_id (column E of ticket sheet)</t>
  </si>
  <si>
    <t>QUESTION 2a</t>
  </si>
  <si>
    <t>Count tickets created AND closed on the SAME DAY, per outlet</t>
  </si>
  <si>
    <t>Helper Col E</t>
  </si>
  <si>
    <t>Formula: =IF(INT(created_at)=INT(closed_at), "Yes", "No")   — INT() removes the time part, leaving only the date serial number</t>
  </si>
  <si>
    <t>Summary</t>
  </si>
  <si>
    <t>Formula: =COUNTIFS(outlet_col, outlet_id, sameday_col, "Yes")</t>
  </si>
  <si>
    <t>QUESTION 2b</t>
  </si>
  <si>
    <t>Count tickets created AND closed in the SAME HOUR of the same day, per outlet</t>
  </si>
  <si>
    <t>Helper Col F</t>
  </si>
  <si>
    <t>Formula: =IF(AND(INT(created_at)=INT(closed_at), HOUR(created_at)=HOUR(closed_at)), "Yes", "No")</t>
  </si>
  <si>
    <t>Formula: =COUNTIFS(outlet_col, outlet_id, samehour_col, "Yes")</t>
  </si>
  <si>
    <t>Formula = INDEX(ticket!B:B, MATCH(A2, ticket!E:E, 0))</t>
  </si>
  <si>
    <t>Q1:Bring the created_at date from the ticket sheet into the feedbacks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</si>
</sst>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i/>
      <sz val="10"/>
      <color rgb="FF00640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5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5FB"/>
      </patternFill>
    </fill>
    <fill>
      <patternFill patternType="solid">
        <fgColor rgb="FFD6E4F0"/>
        <bgColor rgb="FFE2EFDA"/>
      </patternFill>
    </fill>
    <fill>
      <patternFill patternType="solid">
        <fgColor rgb="FF375623"/>
        <bgColor rgb="FF1F4E79"/>
      </patternFill>
    </fill>
    <fill>
      <patternFill patternType="solid">
        <fgColor rgb="FFE2EFDA"/>
        <bgColor rgb="FFEBF5FB"/>
      </patternFill>
    </fill>
    <fill>
      <patternFill patternType="solid">
        <fgColor rgb="FFEBF5FB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sqref="A1:E1"/>
    </sheetView>
  </sheetViews>
  <sheetFormatPr defaultColWidth="8.6640625" defaultRowHeight="14.4" x14ac:dyDescent="0.3"/>
  <cols>
    <col min="1" max="1" width="18" customWidth="1"/>
    <col min="2" max="3" width="22" customWidth="1"/>
    <col min="4" max="5" width="18" customWidth="1"/>
  </cols>
  <sheetData>
    <row r="1" spans="1:5" ht="30" customHeight="1" x14ac:dyDescent="0.3">
      <c r="A1" s="2" t="s">
        <v>0</v>
      </c>
      <c r="B1" s="2"/>
      <c r="C1" s="2"/>
      <c r="D1" s="2"/>
      <c r="E1" s="2"/>
    </row>
    <row r="2" spans="1:5" ht="1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5" customHeight="1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ht="15" customHeight="1" x14ac:dyDescent="0.3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 spans="1:5" ht="15" customHeight="1" x14ac:dyDescent="0.3">
      <c r="A5" s="4" t="s">
        <v>16</v>
      </c>
      <c r="B5" s="4" t="s">
        <v>17</v>
      </c>
      <c r="C5" s="4" t="s">
        <v>18</v>
      </c>
      <c r="D5" s="4" t="s">
        <v>9</v>
      </c>
      <c r="E5" s="4" t="s">
        <v>19</v>
      </c>
    </row>
    <row r="6" spans="1:5" ht="15" customHeight="1" x14ac:dyDescent="0.3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</row>
    <row r="7" spans="1:5" ht="15" customHeight="1" x14ac:dyDescent="0.3">
      <c r="A7" s="4" t="s">
        <v>25</v>
      </c>
      <c r="B7" s="4" t="s">
        <v>26</v>
      </c>
      <c r="C7" s="4" t="s">
        <v>27</v>
      </c>
      <c r="D7" s="4" t="s">
        <v>14</v>
      </c>
      <c r="E7" s="4" t="s">
        <v>28</v>
      </c>
    </row>
    <row r="8" spans="1:5" ht="15" customHeight="1" x14ac:dyDescent="0.3">
      <c r="A8" s="5" t="s">
        <v>29</v>
      </c>
      <c r="B8" s="5" t="s">
        <v>30</v>
      </c>
      <c r="C8" s="5" t="s">
        <v>31</v>
      </c>
      <c r="D8" s="5" t="s">
        <v>9</v>
      </c>
      <c r="E8" s="5" t="s">
        <v>32</v>
      </c>
    </row>
    <row r="9" spans="1:5" ht="15" customHeight="1" x14ac:dyDescent="0.3">
      <c r="A9" s="4" t="s">
        <v>33</v>
      </c>
      <c r="B9" s="4" t="s">
        <v>34</v>
      </c>
      <c r="C9" s="4" t="s">
        <v>35</v>
      </c>
      <c r="D9" s="4" t="s">
        <v>23</v>
      </c>
      <c r="E9" s="4" t="s">
        <v>36</v>
      </c>
    </row>
    <row r="10" spans="1:5" ht="15" customHeight="1" x14ac:dyDescent="0.3">
      <c r="A10" s="5" t="s">
        <v>37</v>
      </c>
      <c r="B10" s="5" t="s">
        <v>38</v>
      </c>
      <c r="C10" s="5" t="s">
        <v>39</v>
      </c>
      <c r="D10" s="5" t="s">
        <v>14</v>
      </c>
      <c r="E10" s="5" t="s">
        <v>40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workbookViewId="0">
      <selection activeCell="H13" sqref="H13"/>
    </sheetView>
  </sheetViews>
  <sheetFormatPr defaultColWidth="8.6640625" defaultRowHeight="14.4" x14ac:dyDescent="0.3"/>
  <cols>
    <col min="1" max="1" width="18" customWidth="1"/>
    <col min="2" max="2" width="22" customWidth="1"/>
    <col min="3" max="3" width="18" customWidth="1"/>
    <col min="4" max="4" width="22" customWidth="1"/>
  </cols>
  <sheetData>
    <row r="1" spans="1:4" ht="30" customHeight="1" x14ac:dyDescent="0.3">
      <c r="A1" s="2" t="s">
        <v>41</v>
      </c>
      <c r="B1" s="2"/>
      <c r="C1" s="2"/>
      <c r="D1" s="2"/>
    </row>
    <row r="2" spans="1:4" ht="15" customHeight="1" x14ac:dyDescent="0.3">
      <c r="A2" s="3" t="s">
        <v>5</v>
      </c>
      <c r="B2" s="3" t="s">
        <v>42</v>
      </c>
      <c r="C2" s="3" t="s">
        <v>43</v>
      </c>
      <c r="D2" s="3" t="s">
        <v>44</v>
      </c>
    </row>
    <row r="3" spans="1:4" ht="15" customHeight="1" x14ac:dyDescent="0.3">
      <c r="A3" s="4" t="s">
        <v>10</v>
      </c>
      <c r="B3" s="4" t="s">
        <v>45</v>
      </c>
      <c r="C3" s="4">
        <v>3</v>
      </c>
      <c r="D3" s="6" t="str">
        <f>IFERROR(INDEX(ticket!$B:$B,MATCH(A3,ticket!$E:$E,0)),"Not Found")</f>
        <v>2021-08-19 16:45:43</v>
      </c>
    </row>
    <row r="4" spans="1:4" ht="15" customHeight="1" x14ac:dyDescent="0.3">
      <c r="A4" s="5" t="s">
        <v>15</v>
      </c>
      <c r="B4" s="5" t="s">
        <v>46</v>
      </c>
      <c r="C4" s="5">
        <v>4</v>
      </c>
      <c r="D4" s="7" t="str">
        <f>IFERROR(INDEX(ticket!$B:$B,MATCH(A4,ticket!$E:$E,0)),"Not Found")</f>
        <v>2021-08-21 11:09:22</v>
      </c>
    </row>
    <row r="5" spans="1:4" ht="15" customHeight="1" x14ac:dyDescent="0.3">
      <c r="A5" s="4" t="s">
        <v>19</v>
      </c>
      <c r="B5" s="4" t="s">
        <v>47</v>
      </c>
      <c r="C5" s="4">
        <v>5</v>
      </c>
      <c r="D5" s="6" t="str">
        <f>IFERROR(INDEX(ticket!$B:$B,MATCH(A5,ticket!$E:$E,0)),"Not Found")</f>
        <v>2021-08-22 09:00:00</v>
      </c>
    </row>
    <row r="6" spans="1:4" ht="15" customHeight="1" x14ac:dyDescent="0.3">
      <c r="A6" s="5" t="s">
        <v>24</v>
      </c>
      <c r="B6" s="5" t="s">
        <v>48</v>
      </c>
      <c r="C6" s="5">
        <v>2</v>
      </c>
      <c r="D6" s="7" t="str">
        <f>IFERROR(INDEX(ticket!$B:$B,MATCH(A6,ticket!$E:$E,0)),"Not Found")</f>
        <v>2021-08-23 14:00:00</v>
      </c>
    </row>
    <row r="7" spans="1:4" ht="15" customHeight="1" x14ac:dyDescent="0.3">
      <c r="A7" s="4" t="s">
        <v>28</v>
      </c>
      <c r="B7" s="4" t="s">
        <v>49</v>
      </c>
      <c r="C7" s="4">
        <v>4</v>
      </c>
      <c r="D7" s="6" t="str">
        <f>IFERROR(INDEX(ticket!$B:$B,MATCH(A7,ticket!$E:$E,0)),"Not Found")</f>
        <v>2021-08-24 08:30:00</v>
      </c>
    </row>
    <row r="8" spans="1:4" ht="15" customHeight="1" x14ac:dyDescent="0.3">
      <c r="A8" s="5" t="s">
        <v>32</v>
      </c>
      <c r="B8" s="5" t="s">
        <v>50</v>
      </c>
      <c r="C8" s="5">
        <v>3</v>
      </c>
      <c r="D8" s="7" t="str">
        <f>IFERROR(INDEX(ticket!$B:$B,MATCH(A8,ticket!$E:$E,0)),"Not Found")</f>
        <v>2021-08-25 10:00:00</v>
      </c>
    </row>
    <row r="9" spans="1:4" ht="15" customHeight="1" x14ac:dyDescent="0.3">
      <c r="A9" s="4" t="s">
        <v>36</v>
      </c>
      <c r="B9" s="4" t="s">
        <v>51</v>
      </c>
      <c r="C9" s="4">
        <v>5</v>
      </c>
      <c r="D9" s="6" t="str">
        <f>IFERROR(INDEX(ticket!$B:$B,MATCH(A9,ticket!$E:$E,0)),"Not Found")</f>
        <v>2021-08-25 13:15:00</v>
      </c>
    </row>
    <row r="10" spans="1:4" ht="15" customHeight="1" x14ac:dyDescent="0.3">
      <c r="A10" s="5" t="s">
        <v>40</v>
      </c>
      <c r="B10" s="5" t="s">
        <v>52</v>
      </c>
      <c r="C10" s="5">
        <v>4</v>
      </c>
      <c r="D10" s="7" t="str">
        <f>IFERROR(INDEX(ticket!$B:$B,MATCH(A10,ticket!$E:$E,0)),"Not Found")</f>
        <v>2021-08-26 15:00:00</v>
      </c>
    </row>
    <row r="13" spans="1:4" ht="19.8" x14ac:dyDescent="0.4">
      <c r="B13" s="19" t="s">
        <v>80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>
      <selection activeCell="B20" sqref="B20"/>
    </sheetView>
  </sheetViews>
  <sheetFormatPr defaultColWidth="8.6640625" defaultRowHeight="14.4" x14ac:dyDescent="0.3"/>
  <cols>
    <col min="1" max="1" width="18" customWidth="1"/>
    <col min="2" max="3" width="22" customWidth="1"/>
    <col min="4" max="4" width="18" customWidth="1"/>
    <col min="5" max="6" width="14" customWidth="1"/>
  </cols>
  <sheetData>
    <row r="1" spans="1:6" ht="30" customHeight="1" x14ac:dyDescent="0.3">
      <c r="A1" s="2" t="s">
        <v>53</v>
      </c>
      <c r="B1" s="2"/>
      <c r="C1" s="2"/>
      <c r="D1" s="2"/>
      <c r="E1" s="2"/>
      <c r="F1" s="2"/>
    </row>
    <row r="2" spans="1:6" ht="15" customHeigh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54</v>
      </c>
      <c r="F2" s="8" t="s">
        <v>55</v>
      </c>
    </row>
    <row r="3" spans="1:6" ht="15" customHeight="1" x14ac:dyDescent="0.3">
      <c r="A3" s="4" t="s">
        <v>6</v>
      </c>
      <c r="B3" s="4" t="s">
        <v>7</v>
      </c>
      <c r="C3" s="4" t="s">
        <v>8</v>
      </c>
      <c r="D3" s="4" t="s">
        <v>9</v>
      </c>
      <c r="E3" s="9" t="str">
        <f t="shared" ref="E3:E10" si="0">IF(INT(B3)=INT(C3),"Yes","No")</f>
        <v>No</v>
      </c>
      <c r="F3" s="9" t="str">
        <f t="shared" ref="F3:F10" si="1">IF(AND(INT(B3)=INT(C3),HOUR(B3)=HOUR(C3)),"Yes","No")</f>
        <v>No</v>
      </c>
    </row>
    <row r="4" spans="1:6" ht="15" customHeight="1" x14ac:dyDescent="0.3">
      <c r="A4" s="5" t="s">
        <v>11</v>
      </c>
      <c r="B4" s="5" t="s">
        <v>12</v>
      </c>
      <c r="C4" s="5" t="s">
        <v>13</v>
      </c>
      <c r="D4" s="5" t="s">
        <v>14</v>
      </c>
      <c r="E4" s="10" t="str">
        <f t="shared" si="0"/>
        <v>Yes</v>
      </c>
      <c r="F4" s="10" t="str">
        <f t="shared" si="1"/>
        <v>No</v>
      </c>
    </row>
    <row r="5" spans="1:6" ht="15" customHeight="1" x14ac:dyDescent="0.3">
      <c r="A5" s="4" t="s">
        <v>16</v>
      </c>
      <c r="B5" s="4" t="s">
        <v>17</v>
      </c>
      <c r="C5" s="4" t="s">
        <v>18</v>
      </c>
      <c r="D5" s="4" t="s">
        <v>9</v>
      </c>
      <c r="E5" s="9" t="str">
        <f t="shared" si="0"/>
        <v>Yes</v>
      </c>
      <c r="F5" s="9" t="str">
        <f t="shared" si="1"/>
        <v>Yes</v>
      </c>
    </row>
    <row r="6" spans="1:6" ht="15" customHeight="1" x14ac:dyDescent="0.3">
      <c r="A6" s="5" t="s">
        <v>20</v>
      </c>
      <c r="B6" s="5" t="s">
        <v>21</v>
      </c>
      <c r="C6" s="5" t="s">
        <v>22</v>
      </c>
      <c r="D6" s="5" t="s">
        <v>23</v>
      </c>
      <c r="E6" s="10" t="str">
        <f t="shared" si="0"/>
        <v>No</v>
      </c>
      <c r="F6" s="10" t="str">
        <f t="shared" si="1"/>
        <v>No</v>
      </c>
    </row>
    <row r="7" spans="1:6" ht="15" customHeight="1" x14ac:dyDescent="0.3">
      <c r="A7" s="4" t="s">
        <v>25</v>
      </c>
      <c r="B7" s="4" t="s">
        <v>26</v>
      </c>
      <c r="C7" s="4" t="s">
        <v>27</v>
      </c>
      <c r="D7" s="4" t="s">
        <v>14</v>
      </c>
      <c r="E7" s="9" t="str">
        <f t="shared" si="0"/>
        <v>Yes</v>
      </c>
      <c r="F7" s="9" t="str">
        <f t="shared" si="1"/>
        <v>Yes</v>
      </c>
    </row>
    <row r="8" spans="1:6" ht="15" customHeight="1" x14ac:dyDescent="0.3">
      <c r="A8" s="5" t="s">
        <v>29</v>
      </c>
      <c r="B8" s="5" t="s">
        <v>30</v>
      </c>
      <c r="C8" s="5" t="s">
        <v>31</v>
      </c>
      <c r="D8" s="5" t="s">
        <v>9</v>
      </c>
      <c r="E8" s="10" t="str">
        <f t="shared" si="0"/>
        <v>Yes</v>
      </c>
      <c r="F8" s="10" t="str">
        <f t="shared" si="1"/>
        <v>Yes</v>
      </c>
    </row>
    <row r="9" spans="1:6" ht="15" customHeight="1" x14ac:dyDescent="0.3">
      <c r="A9" s="4" t="s">
        <v>33</v>
      </c>
      <c r="B9" s="4" t="s">
        <v>34</v>
      </c>
      <c r="C9" s="4" t="s">
        <v>35</v>
      </c>
      <c r="D9" s="4" t="s">
        <v>23</v>
      </c>
      <c r="E9" s="9" t="str">
        <f t="shared" si="0"/>
        <v>No</v>
      </c>
      <c r="F9" s="9" t="str">
        <f t="shared" si="1"/>
        <v>No</v>
      </c>
    </row>
    <row r="10" spans="1:6" ht="15" customHeight="1" x14ac:dyDescent="0.3">
      <c r="A10" s="5" t="s">
        <v>37</v>
      </c>
      <c r="B10" s="5" t="s">
        <v>38</v>
      </c>
      <c r="C10" s="5" t="s">
        <v>39</v>
      </c>
      <c r="D10" s="5" t="s">
        <v>14</v>
      </c>
      <c r="E10" s="10" t="str">
        <f t="shared" si="0"/>
        <v>Yes</v>
      </c>
      <c r="F10" s="10" t="str">
        <f t="shared" si="1"/>
        <v>Yes</v>
      </c>
    </row>
    <row r="12" spans="1:6" ht="25.5" customHeight="1" x14ac:dyDescent="0.3">
      <c r="A12" s="1" t="s">
        <v>56</v>
      </c>
      <c r="B12" s="1"/>
      <c r="C12" s="1"/>
      <c r="D12" s="1"/>
      <c r="E12" s="1"/>
      <c r="F12" s="1"/>
    </row>
    <row r="13" spans="1:6" ht="15" customHeight="1" x14ac:dyDescent="0.3">
      <c r="A13" s="8" t="s">
        <v>57</v>
      </c>
      <c r="B13" s="8" t="s">
        <v>58</v>
      </c>
      <c r="C13" s="8" t="s">
        <v>59</v>
      </c>
    </row>
    <row r="14" spans="1:6" ht="15" customHeight="1" x14ac:dyDescent="0.3">
      <c r="A14" s="11" t="s">
        <v>14</v>
      </c>
      <c r="B14" s="11">
        <f>COUNTIFS($D$3:$D$10,A14,$E$3:$E$10,"Yes")</f>
        <v>3</v>
      </c>
      <c r="C14" s="11">
        <f>COUNTIFS($D$3:$D$10,A14,$F$3:$F$10,"Yes")</f>
        <v>2</v>
      </c>
    </row>
    <row r="15" spans="1:6" ht="15" customHeight="1" x14ac:dyDescent="0.3">
      <c r="A15" s="12" t="s">
        <v>23</v>
      </c>
      <c r="B15" s="12">
        <f>COUNTIFS($D$3:$D$10,A15,$E$3:$E$10,"Yes")</f>
        <v>0</v>
      </c>
      <c r="C15" s="12">
        <f>COUNTIFS($D$3:$D$10,A15,$F$3:$F$10,"Yes")</f>
        <v>0</v>
      </c>
    </row>
    <row r="16" spans="1:6" ht="15" customHeight="1" x14ac:dyDescent="0.3">
      <c r="A16" s="11" t="s">
        <v>9</v>
      </c>
      <c r="B16" s="11">
        <f>COUNTIFS($D$3:$D$10,A16,$E$3:$E$10,"Yes")</f>
        <v>2</v>
      </c>
      <c r="C16" s="11">
        <f>COUNTIFS($D$3:$D$10,A16,$F$3:$F$10,"Yes")</f>
        <v>2</v>
      </c>
    </row>
    <row r="20" spans="1:3" x14ac:dyDescent="0.3">
      <c r="A20" s="17"/>
      <c r="B20" s="17"/>
      <c r="C20" s="18"/>
    </row>
    <row r="21" spans="1:3" x14ac:dyDescent="0.3">
      <c r="A21" s="4"/>
      <c r="B21" s="17"/>
      <c r="C21" s="17"/>
    </row>
  </sheetData>
  <mergeCells count="2">
    <mergeCell ref="A1:F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Normal="100" workbookViewId="0">
      <selection activeCell="B2" sqref="B2"/>
    </sheetView>
  </sheetViews>
  <sheetFormatPr defaultColWidth="8.6640625" defaultRowHeight="14.4" x14ac:dyDescent="0.3"/>
  <cols>
    <col min="1" max="1" width="28" customWidth="1"/>
    <col min="2" max="2" width="90" customWidth="1"/>
  </cols>
  <sheetData>
    <row r="1" spans="1:2" ht="30" customHeight="1" x14ac:dyDescent="0.3">
      <c r="A1" s="2" t="s">
        <v>60</v>
      </c>
      <c r="B1" s="2"/>
    </row>
    <row r="2" spans="1:2" ht="39.75" customHeight="1" x14ac:dyDescent="0.3">
      <c r="A2" s="13" t="s">
        <v>61</v>
      </c>
      <c r="B2" s="14" t="s">
        <v>62</v>
      </c>
    </row>
    <row r="3" spans="1:2" ht="39.75" customHeight="1" x14ac:dyDescent="0.3">
      <c r="A3" s="15" t="s">
        <v>63</v>
      </c>
      <c r="B3" s="16" t="s">
        <v>79</v>
      </c>
    </row>
    <row r="4" spans="1:2" ht="39.75" customHeight="1" x14ac:dyDescent="0.3">
      <c r="A4" s="13" t="s">
        <v>64</v>
      </c>
      <c r="B4" s="14" t="s">
        <v>65</v>
      </c>
    </row>
    <row r="5" spans="1:2" ht="39.75" customHeight="1" x14ac:dyDescent="0.3">
      <c r="A5" s="15" t="s">
        <v>66</v>
      </c>
      <c r="B5" s="16" t="s">
        <v>67</v>
      </c>
    </row>
    <row r="6" spans="1:2" ht="39.75" customHeight="1" x14ac:dyDescent="0.3">
      <c r="A6" s="14"/>
      <c r="B6" s="14"/>
    </row>
    <row r="7" spans="1:2" ht="39.75" customHeight="1" x14ac:dyDescent="0.3">
      <c r="A7" s="15" t="s">
        <v>68</v>
      </c>
      <c r="B7" s="16" t="s">
        <v>69</v>
      </c>
    </row>
    <row r="8" spans="1:2" ht="39.75" customHeight="1" x14ac:dyDescent="0.3">
      <c r="A8" s="13" t="s">
        <v>70</v>
      </c>
      <c r="B8" s="14" t="s">
        <v>71</v>
      </c>
    </row>
    <row r="9" spans="1:2" ht="39.75" customHeight="1" x14ac:dyDescent="0.3">
      <c r="A9" s="15" t="s">
        <v>72</v>
      </c>
      <c r="B9" s="16" t="s">
        <v>73</v>
      </c>
    </row>
    <row r="10" spans="1:2" ht="39.75" customHeight="1" x14ac:dyDescent="0.3">
      <c r="A10" s="14"/>
      <c r="B10" s="14"/>
    </row>
    <row r="11" spans="1:2" ht="39.75" customHeight="1" x14ac:dyDescent="0.3">
      <c r="A11" s="15" t="s">
        <v>74</v>
      </c>
      <c r="B11" s="16" t="s">
        <v>75</v>
      </c>
    </row>
    <row r="12" spans="1:2" ht="39.75" customHeight="1" x14ac:dyDescent="0.3">
      <c r="A12" s="13" t="s">
        <v>76</v>
      </c>
      <c r="B12" s="14" t="s">
        <v>77</v>
      </c>
    </row>
    <row r="13" spans="1:2" ht="39.75" customHeight="1" x14ac:dyDescent="0.3">
      <c r="A13" s="15" t="s">
        <v>72</v>
      </c>
      <c r="B13" s="16" t="s">
        <v>78</v>
      </c>
    </row>
    <row r="14" spans="1:2" ht="39.75" customHeight="1" x14ac:dyDescent="0.3">
      <c r="A14" s="14"/>
      <c r="B14" s="14"/>
    </row>
    <row r="15" spans="1:2" ht="39.75" customHeight="1" x14ac:dyDescent="0.3">
      <c r="A15" s="15"/>
      <c r="B15" s="16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</vt:lpstr>
      <vt:lpstr>feedbacks</vt:lpstr>
      <vt:lpstr>Analysis</vt:lpstr>
      <vt:lpstr>Formula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kavya cheedella</cp:lastModifiedBy>
  <cp:revision>0</cp:revision>
  <dcterms:created xsi:type="dcterms:W3CDTF">2026-04-09T07:56:42Z</dcterms:created>
  <dcterms:modified xsi:type="dcterms:W3CDTF">2026-04-09T09:40:11Z</dcterms:modified>
  <dc:language>en-US</dc:language>
</cp:coreProperties>
</file>